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D EMA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CCFF"/>
      <sz val="14"/>
    </font>
    <font>
      <i val="1"/>
      <color rgb="00888888"/>
      <sz val="10"/>
    </font>
    <font>
      <b val="1"/>
      <color rgb="0000CCFF"/>
      <sz val="11"/>
    </font>
    <font>
      <b val="1"/>
      <color rgb="00FFFFFF"/>
      <sz val="12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40" customWidth="1" min="4" max="4"/>
  </cols>
  <sheetData>
    <row r="1">
      <c r="A1" s="1" t="inlineStr">
        <is>
          <t>V10 RTD EMA Signal Verification Test</t>
        </is>
      </c>
    </row>
    <row r="2">
      <c r="A2" s="2" t="inlineStr">
        <is>
          <t>Open this file in Excel on Windows with ThinkOrSwim running. RTD formulas will auto-populate.</t>
        </is>
      </c>
    </row>
    <row r="4">
      <c r="A4" s="3">
        <f>== EMA 9 / EMA 15 TEST (PRIMARY FIX) ===</f>
        <v/>
      </c>
    </row>
    <row r="5">
      <c r="A5" s="4" t="inlineStr">
        <is>
          <t>Field</t>
        </is>
      </c>
      <c r="B5" s="4" t="inlineStr">
        <is>
          <t>Excel RTD Formula</t>
        </is>
      </c>
      <c r="C5" s="4" t="inlineStr">
        <is>
          <t>Live Value</t>
        </is>
      </c>
      <c r="D5" s="4" t="inlineStr">
        <is>
          <t>Expected Result</t>
        </is>
      </c>
    </row>
    <row r="6">
      <c r="A6" s="5" t="inlineStr">
        <is>
          <t>EMA9 via CUSTOM4 (CORRECT)</t>
        </is>
      </c>
      <c r="B6" s="6">
        <f>RTD("tos.rtd", , "CUSTOM4", "/MES:XCME")</f>
        <v/>
      </c>
      <c r="C6" s="5">
        <f>RTD("tos.rtd", , "CUSTOM4", "/MES:XCME")</f>
        <v/>
      </c>
      <c r="D6" s="5" t="inlineStr">
        <is>
          <t>Should show ~6900-7100 (live EMA 9 value)</t>
        </is>
      </c>
    </row>
    <row r="7">
      <c r="A7" s="5" t="inlineStr">
        <is>
          <t>EMA15 via CUSTOM6 (CORRECT)</t>
        </is>
      </c>
      <c r="B7" s="6">
        <f>RTD("tos.rtd", , "CUSTOM6", "/MES:XCME")</f>
        <v/>
      </c>
      <c r="C7" s="5">
        <f>RTD("tos.rtd", , "CUSTOM6", "/MES:XCME")</f>
        <v/>
      </c>
      <c r="D7" s="5" t="inlineStr">
        <is>
          <t>Should show ~6900-7100 (live EMA 15 value)</t>
        </is>
      </c>
    </row>
    <row r="8">
      <c r="A8" s="5" t="inlineStr">
        <is>
          <t>EMA9 via CUSTOM1 (BROKEN)</t>
        </is>
      </c>
      <c r="B8" s="6">
        <f>RTD("tos.rtd", , "CUSTOM1", "/MES:XCME")</f>
        <v/>
      </c>
      <c r="C8" s="5">
        <f>RTD("tos.rtd", , "CUSTOM1", "/MES:XCME")</f>
        <v/>
      </c>
      <c r="D8" s="5" t="inlineStr">
        <is>
          <t>Expected: "loading" or #N/A (confirms CUSTOM1 is wrong)</t>
        </is>
      </c>
    </row>
    <row r="9">
      <c r="A9" s="5" t="inlineStr">
        <is>
          <t>EMA15 via CUSTOM2 (BROKEN)</t>
        </is>
      </c>
      <c r="B9" s="6">
        <f>RTD("tos.rtd", , "CUSTOM2", "/MES:XCME")</f>
        <v/>
      </c>
      <c r="C9" s="5">
        <f>RTD("tos.rtd", , "CUSTOM2", "/MES:XCME")</f>
        <v/>
      </c>
      <c r="D9" s="5" t="inlineStr">
        <is>
          <t>Expected: "loading" or #N/A (confirms CUSTOM2 is wrong)</t>
        </is>
      </c>
    </row>
    <row r="11">
      <c r="A11" s="3">
        <f>== OTHER FIELDS SANITY CHECK ===</f>
        <v/>
      </c>
    </row>
    <row r="12">
      <c r="A12" s="4" t="inlineStr">
        <is>
          <t>Field</t>
        </is>
      </c>
      <c r="B12" s="4" t="inlineStr">
        <is>
          <t>Excel RTD Formula</t>
        </is>
      </c>
      <c r="C12" s="4" t="inlineStr">
        <is>
          <t>Live Value</t>
        </is>
      </c>
      <c r="D12" s="4" t="inlineStr">
        <is>
          <t>Expected Result</t>
        </is>
      </c>
    </row>
    <row r="13">
      <c r="A13" s="5" t="inlineStr">
        <is>
          <t>LAST Price</t>
        </is>
      </c>
      <c r="B13" s="6">
        <f>RTD("tos.rtd", , "LAST", "/MES:XCME")</f>
        <v/>
      </c>
      <c r="C13" s="5">
        <f>RTD("tos.rtd", , "LAST", "/MES:XCME")</f>
        <v/>
      </c>
      <c r="D13" s="5" t="inlineStr">
        <is>
          <t>Current /MES price</t>
        </is>
      </c>
    </row>
    <row r="14">
      <c r="A14" s="5" t="inlineStr">
        <is>
          <t>EMA30 (CUSTOM8)</t>
        </is>
      </c>
      <c r="B14" s="6">
        <f>RTD("tos.rtd", , "CUSTOM8", "/MES:XCME")</f>
        <v/>
      </c>
      <c r="C14" s="5">
        <f>RTD("tos.rtd", , "CUSTOM8", "/MES:XCME")</f>
        <v/>
      </c>
      <c r="D14" s="5" t="inlineStr">
        <is>
          <t>Live EMA 30 value</t>
        </is>
      </c>
    </row>
    <row r="15">
      <c r="A15" s="5" t="inlineStr">
        <is>
          <t>EMA65 (CUSTOM19)</t>
        </is>
      </c>
      <c r="B15" s="6">
        <f>RTD("tos.rtd", , "CUSTOM19", "/MES:XCME")</f>
        <v/>
      </c>
      <c r="C15" s="5">
        <f>RTD("tos.rtd", , "CUSTOM19", "/MES:XCME")</f>
        <v/>
      </c>
      <c r="D15" s="5" t="inlineStr">
        <is>
          <t>Live EMA 65 value</t>
        </is>
      </c>
    </row>
    <row r="16">
      <c r="A16" s="5" t="inlineStr">
        <is>
          <t>EMA200 (CUSTOM18)</t>
        </is>
      </c>
      <c r="B16" s="6">
        <f>RTD("tos.rtd", , "CUSTOM18", "/MES:XCME")</f>
        <v/>
      </c>
      <c r="C16" s="5">
        <f>RTD("tos.rtd", , "CUSTOM18", "/MES:XCME")</f>
        <v/>
      </c>
      <c r="D16" s="5" t="inlineStr">
        <is>
          <t>Live EMA 200 value</t>
        </is>
      </c>
    </row>
    <row r="17">
      <c r="A17" s="5" t="inlineStr">
        <is>
          <t>OR HIGH (CUSTOM9)</t>
        </is>
      </c>
      <c r="B17" s="6">
        <f>RTD("tos.rtd", , "CUSTOM9", "/MES:XCME")</f>
        <v/>
      </c>
      <c r="C17" s="5">
        <f>RTD("tos.rtd", , "CUSTOM9", "/MES:XCME")</f>
        <v/>
      </c>
      <c r="D17" s="5" t="inlineStr">
        <is>
          <t>Opening Range High</t>
        </is>
      </c>
    </row>
    <row r="18">
      <c r="A18" s="5" t="inlineStr">
        <is>
          <t>OR LOW (CUSTOM11)</t>
        </is>
      </c>
      <c r="B18" s="6">
        <f>RTD("tos.rtd", , "CUSTOM11", "/MES:XCME")</f>
        <v/>
      </c>
      <c r="C18" s="5">
        <f>RTD("tos.rtd", , "CUSTOM11", "/MES:XCME")</f>
        <v/>
      </c>
      <c r="D18" s="5" t="inlineStr">
        <is>
          <t>Opening Range Low</t>
        </is>
      </c>
    </row>
    <row r="19">
      <c r="A19" s="5" t="inlineStr">
        <is>
          <t>OR15 HIGH (CUSTOM13)</t>
        </is>
      </c>
      <c r="B19" s="6">
        <f>RTD("tos.rtd", , "CUSTOM13", "/MES:XCME")</f>
        <v/>
      </c>
      <c r="C19" s="5">
        <f>RTD("tos.rtd", , "CUSTOM13", "/MES:XCME")</f>
        <v/>
      </c>
      <c r="D19" s="5" t="inlineStr">
        <is>
          <t>15-min OR High</t>
        </is>
      </c>
    </row>
    <row r="20">
      <c r="A20" s="5" t="inlineStr">
        <is>
          <t>OR15 LOW (CUSTOM15)</t>
        </is>
      </c>
      <c r="B20" s="6">
        <f>RTD("tos.rtd", , "CUSTOM15", "/MES:XCME")</f>
        <v/>
      </c>
      <c r="C20" s="5">
        <f>RTD("tos.rtd", , "CUSTOM15", "/MES:XCME")</f>
        <v/>
      </c>
      <c r="D20" s="5" t="inlineStr">
        <is>
          <t>15-min OR Low</t>
        </is>
      </c>
    </row>
    <row r="21">
      <c r="A21" s="5" t="inlineStr">
        <is>
          <t>FLAG 5m (CUSTOM14)</t>
        </is>
      </c>
      <c r="B21" s="6">
        <f>RTD("tos.rtd", , "CUSTOM14", "/MES:XCME")</f>
        <v/>
      </c>
      <c r="C21" s="5">
        <f>RTD("tos.rtd", , "CUSTOM14", "/MES:XCME")</f>
        <v/>
      </c>
      <c r="D21" s="5" t="inlineStr">
        <is>
          <t>5-min flag level</t>
        </is>
      </c>
    </row>
    <row r="22">
      <c r="A22" s="5" t="inlineStr">
        <is>
          <t>FLAG 15m (CUSTOM16)</t>
        </is>
      </c>
      <c r="B22" s="6">
        <f>RTD("tos.rtd", , "CUSTOM16", "/MES:XCME")</f>
        <v/>
      </c>
      <c r="C22" s="5">
        <f>RTD("tos.rtd", , "CUSTOM16", "/MES:XCME")</f>
        <v/>
      </c>
      <c r="D22" s="5" t="inlineStr">
        <is>
          <t>15-min flag level</t>
        </is>
      </c>
    </row>
    <row r="23">
      <c r="A23" s="5" t="inlineStr">
        <is>
          <t>FLAG 1h (CUSTOM20)</t>
        </is>
      </c>
      <c r="B23" s="6">
        <f>RTD("tos.rtd", , "CUSTOM20", "/MES:XCME")</f>
        <v/>
      </c>
      <c r="C23" s="5">
        <f>RTD("tos.rtd", , "CUSTOM20", "/MES:XCME")</f>
        <v/>
      </c>
      <c r="D23" s="5" t="inlineStr">
        <is>
          <t>1-hour flag level</t>
        </is>
      </c>
    </row>
    <row r="26">
      <c r="A26" s="3">
        <f>== V10 CONFIRMED RTD COLUMN MAP ===</f>
        <v/>
      </c>
    </row>
    <row r="27">
      <c r="A27" s="7" t="inlineStr">
        <is>
          <t>CUSTOM Column</t>
        </is>
      </c>
      <c r="B27" s="7" t="inlineStr">
        <is>
          <t>Study</t>
        </is>
      </c>
      <c r="C27" s="7" t="inlineStr">
        <is>
          <t>Status</t>
        </is>
      </c>
    </row>
    <row r="28">
      <c r="A28" s="5" t="inlineStr">
        <is>
          <t>CUSTOM4</t>
        </is>
      </c>
      <c r="B28" s="5" t="inlineStr">
        <is>
          <t>EMA 9</t>
        </is>
      </c>
      <c r="C28" s="5" t="inlineStr">
        <is>
          <t>CONFIRMED via log RECV data</t>
        </is>
      </c>
    </row>
    <row r="29">
      <c r="A29" s="5" t="inlineStr">
        <is>
          <t>CUSTOM6</t>
        </is>
      </c>
      <c r="B29" s="5" t="inlineStr">
        <is>
          <t>EMA 15</t>
        </is>
      </c>
      <c r="C29" s="5" t="inlineStr">
        <is>
          <t>CONFIRMED via log RECV data</t>
        </is>
      </c>
    </row>
    <row r="30">
      <c r="A30" s="5" t="inlineStr">
        <is>
          <t>CUSTOM8</t>
        </is>
      </c>
      <c r="B30" s="5" t="inlineStr">
        <is>
          <t>EMA 30</t>
        </is>
      </c>
      <c r="C30" s="5" t="inlineStr">
        <is>
          <t>Unchanged - working</t>
        </is>
      </c>
    </row>
    <row r="31">
      <c r="A31" s="5" t="inlineStr">
        <is>
          <t>CUSTOM9</t>
        </is>
      </c>
      <c r="B31" s="5" t="inlineStr">
        <is>
          <t>OR HIGH</t>
        </is>
      </c>
      <c r="C31" s="5" t="inlineStr">
        <is>
          <t>Confirmed in 12:22 session</t>
        </is>
      </c>
    </row>
    <row r="32">
      <c r="A32" s="5" t="inlineStr">
        <is>
          <t>CUSTOM11</t>
        </is>
      </c>
      <c r="B32" s="5" t="inlineStr">
        <is>
          <t>OR LOW</t>
        </is>
      </c>
      <c r="C32" s="5" t="inlineStr">
        <is>
          <t>Confirmed in 12:22 session</t>
        </is>
      </c>
    </row>
    <row r="33">
      <c r="A33" s="5" t="inlineStr">
        <is>
          <t>CUSTOM13</t>
        </is>
      </c>
      <c r="B33" s="5" t="inlineStr">
        <is>
          <t>OR 15 HIGH</t>
        </is>
      </c>
      <c r="C33" s="5" t="inlineStr">
        <is>
          <t>Unchanged - working</t>
        </is>
      </c>
    </row>
    <row r="34">
      <c r="A34" s="5" t="inlineStr">
        <is>
          <t>CUSTOM14</t>
        </is>
      </c>
      <c r="B34" s="5" t="inlineStr">
        <is>
          <t>FLAG 5M</t>
        </is>
      </c>
      <c r="C34" s="5" t="inlineStr">
        <is>
          <t>Unchanged - working</t>
        </is>
      </c>
    </row>
    <row r="35">
      <c r="A35" s="5" t="inlineStr">
        <is>
          <t>CUSTOM15</t>
        </is>
      </c>
      <c r="B35" s="5" t="inlineStr">
        <is>
          <t>OR 15 LOW</t>
        </is>
      </c>
      <c r="C35" s="5" t="inlineStr">
        <is>
          <t>Unchanged - working</t>
        </is>
      </c>
    </row>
    <row r="36">
      <c r="A36" s="5" t="inlineStr">
        <is>
          <t>CUSTOM16</t>
        </is>
      </c>
      <c r="B36" s="5" t="inlineStr">
        <is>
          <t>FLAG 15M</t>
        </is>
      </c>
      <c r="C36" s="5" t="inlineStr">
        <is>
          <t>Unchanged - working</t>
        </is>
      </c>
    </row>
    <row r="37">
      <c r="A37" s="5" t="inlineStr">
        <is>
          <t>CUSTOM18</t>
        </is>
      </c>
      <c r="B37" s="5" t="inlineStr">
        <is>
          <t>EMA 200</t>
        </is>
      </c>
      <c r="C37" s="5" t="inlineStr">
        <is>
          <t>Unchanged - working</t>
        </is>
      </c>
    </row>
    <row r="38">
      <c r="A38" s="5" t="inlineStr">
        <is>
          <t>CUSTOM19</t>
        </is>
      </c>
      <c r="B38" s="5" t="inlineStr">
        <is>
          <t>EMA 65</t>
        </is>
      </c>
      <c r="C38" s="5" t="inlineStr">
        <is>
          <t>Unchanged - working</t>
        </is>
      </c>
    </row>
    <row r="39">
      <c r="A39" s="5" t="inlineStr">
        <is>
          <t>CUSTOM20</t>
        </is>
      </c>
      <c r="B39" s="5" t="inlineStr">
        <is>
          <t>FLAG 1H</t>
        </is>
      </c>
      <c r="C39" s="5" t="inlineStr">
        <is>
          <t>Unchanged - working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2026-01-28T17:26:42Z</dcterms:created>
  <dcterms:modified xsi:type="dcterms:W3CDTF">2026-01-28T17:26:42Z</dcterms:modified>
</cp:coreProperties>
</file>